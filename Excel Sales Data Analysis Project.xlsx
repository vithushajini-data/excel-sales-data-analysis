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<sst xmlns="http://schemas.openxmlformats.org/spreadsheetml/2006/main" count="65" uniqueCount="32">
  <si>
    <t>Order ID</t>
  </si>
  <si>
    <t>Date</t>
  </si>
  <si>
    <t>Product</t>
  </si>
  <si>
    <t>Category</t>
  </si>
  <si>
    <t>Region</t>
  </si>
  <si>
    <t>Salesperson</t>
  </si>
  <si>
    <t>Quantity</t>
  </si>
  <si>
    <t>Unit Price</t>
  </si>
  <si>
    <t>Laptop</t>
  </si>
  <si>
    <t>Electronics</t>
  </si>
  <si>
    <t>North</t>
  </si>
  <si>
    <t>John</t>
  </si>
  <si>
    <t>Mouse</t>
  </si>
  <si>
    <t>South</t>
  </si>
  <si>
    <t>Mary</t>
  </si>
  <si>
    <t>Keyboard</t>
  </si>
  <si>
    <t>East</t>
  </si>
  <si>
    <t>David</t>
  </si>
  <si>
    <t>Printer</t>
  </si>
  <si>
    <t>West</t>
  </si>
  <si>
    <t>Chair</t>
  </si>
  <si>
    <t>Furniture</t>
  </si>
  <si>
    <t>Desk</t>
  </si>
  <si>
    <t>Monitor</t>
  </si>
  <si>
    <t>Product ID</t>
  </si>
  <si>
    <t>Product Name</t>
  </si>
  <si>
    <t>Price</t>
  </si>
  <si>
    <t>P101</t>
  </si>
  <si>
    <t>P102</t>
  </si>
  <si>
    <t>P103</t>
  </si>
  <si>
    <t>P104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</si>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</sst>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5:C28" displayName="Table1" name="Table1" id="1">
  <tableColumns count="3">
    <tableColumn name="Product ID" id="1"/>
    <tableColumn name="Product Name" id="2"/>
    <tableColumn name="Column 1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3">
        <v>46023.0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2.0</v>
      </c>
      <c r="H2" s="2">
        <v>120000.0</v>
      </c>
    </row>
    <row r="3">
      <c r="A3" s="2">
        <v>1002.0</v>
      </c>
      <c r="B3" s="3">
        <v>46054.0</v>
      </c>
      <c r="C3" s="2" t="s">
        <v>12</v>
      </c>
      <c r="D3" s="2" t="s">
        <v>9</v>
      </c>
      <c r="E3" s="2" t="s">
        <v>13</v>
      </c>
      <c r="F3" s="2" t="s">
        <v>14</v>
      </c>
      <c r="G3" s="2">
        <v>5.0</v>
      </c>
      <c r="H3" s="2">
        <v>2500.0</v>
      </c>
    </row>
    <row r="4">
      <c r="A4" s="2">
        <v>1003.0</v>
      </c>
      <c r="B4" s="3">
        <v>46082.0</v>
      </c>
      <c r="C4" s="2" t="s">
        <v>15</v>
      </c>
      <c r="D4" s="2" t="s">
        <v>9</v>
      </c>
      <c r="E4" s="2" t="s">
        <v>16</v>
      </c>
      <c r="F4" s="2" t="s">
        <v>17</v>
      </c>
      <c r="G4" s="2">
        <v>3.0</v>
      </c>
      <c r="H4" s="2">
        <v>4500.0</v>
      </c>
    </row>
    <row r="5">
      <c r="A5" s="2">
        <v>1004.0</v>
      </c>
      <c r="B5" s="3">
        <v>46113.0</v>
      </c>
      <c r="C5" s="2" t="s">
        <v>18</v>
      </c>
      <c r="D5" s="2" t="s">
        <v>9</v>
      </c>
      <c r="E5" s="2" t="s">
        <v>19</v>
      </c>
      <c r="F5" s="2" t="s">
        <v>11</v>
      </c>
      <c r="G5" s="2">
        <v>1.0</v>
      </c>
      <c r="H5" s="2">
        <v>35000.0</v>
      </c>
    </row>
    <row r="6">
      <c r="A6" s="2">
        <v>1005.0</v>
      </c>
      <c r="B6" s="3">
        <v>46143.0</v>
      </c>
      <c r="C6" s="2" t="s">
        <v>8</v>
      </c>
      <c r="D6" s="2" t="s">
        <v>9</v>
      </c>
      <c r="E6" s="2" t="s">
        <v>10</v>
      </c>
      <c r="F6" s="2" t="s">
        <v>14</v>
      </c>
      <c r="G6" s="2">
        <v>1.0</v>
      </c>
      <c r="H6" s="2">
        <v>120000.0</v>
      </c>
    </row>
    <row r="7">
      <c r="A7" s="2">
        <v>1006.0</v>
      </c>
      <c r="B7" s="3">
        <v>46174.0</v>
      </c>
      <c r="C7" s="2" t="s">
        <v>20</v>
      </c>
      <c r="D7" s="2" t="s">
        <v>21</v>
      </c>
      <c r="E7" s="2" t="s">
        <v>13</v>
      </c>
      <c r="F7" s="2" t="s">
        <v>17</v>
      </c>
      <c r="G7" s="2">
        <v>4.0</v>
      </c>
      <c r="H7" s="2">
        <v>15000.0</v>
      </c>
    </row>
    <row r="8">
      <c r="A8" s="2">
        <v>1007.0</v>
      </c>
      <c r="B8" s="3">
        <v>46204.0</v>
      </c>
      <c r="C8" s="2" t="s">
        <v>22</v>
      </c>
      <c r="D8" s="2" t="s">
        <v>21</v>
      </c>
      <c r="E8" s="2" t="s">
        <v>16</v>
      </c>
      <c r="F8" s="2" t="s">
        <v>11</v>
      </c>
      <c r="G8" s="2">
        <v>2.0</v>
      </c>
      <c r="H8" s="2">
        <v>25000.0</v>
      </c>
    </row>
    <row r="9">
      <c r="A9" s="2">
        <v>1008.0</v>
      </c>
      <c r="B9" s="3">
        <v>46235.0</v>
      </c>
      <c r="C9" s="2" t="s">
        <v>20</v>
      </c>
      <c r="D9" s="2" t="s">
        <v>21</v>
      </c>
      <c r="E9" s="2" t="s">
        <v>19</v>
      </c>
      <c r="F9" s="2" t="s">
        <v>14</v>
      </c>
      <c r="G9" s="2">
        <v>3.0</v>
      </c>
      <c r="H9" s="2">
        <v>15000.0</v>
      </c>
    </row>
    <row r="10">
      <c r="A10" s="2">
        <v>1009.0</v>
      </c>
      <c r="B10" s="3">
        <v>46266.0</v>
      </c>
      <c r="C10" s="2" t="s">
        <v>23</v>
      </c>
      <c r="D10" s="2" t="s">
        <v>9</v>
      </c>
      <c r="E10" s="2" t="s">
        <v>10</v>
      </c>
      <c r="F10" s="2" t="s">
        <v>17</v>
      </c>
      <c r="G10" s="2">
        <v>2.0</v>
      </c>
      <c r="H10" s="2">
        <v>45000.0</v>
      </c>
    </row>
    <row r="11">
      <c r="A11" s="2">
        <v>1010.0</v>
      </c>
      <c r="B11" s="3">
        <v>46296.0</v>
      </c>
      <c r="C11" s="2" t="s">
        <v>22</v>
      </c>
      <c r="D11" s="2" t="s">
        <v>21</v>
      </c>
      <c r="E11" s="2" t="s">
        <v>13</v>
      </c>
      <c r="F11" s="2" t="s">
        <v>11</v>
      </c>
      <c r="G11" s="2">
        <v>1.0</v>
      </c>
      <c r="H11" s="2">
        <v>25000.0</v>
      </c>
    </row>
    <row r="13">
      <c r="H13" s="4">
        <f>SUM(H2:H11)</f>
        <v>407000</v>
      </c>
    </row>
    <row r="14">
      <c r="D14" s="4">
        <f>COUNTIF(D2:D11,"Electronics")</f>
        <v>6</v>
      </c>
      <c r="E14" s="4">
        <f>SUMIF(E2:E11,"North",H2:H11)</f>
        <v>285000</v>
      </c>
    </row>
    <row r="15">
      <c r="H15" s="4" t="str">
        <f>IF(H2&gt;=50000,"High","Low")</f>
        <v>High</v>
      </c>
    </row>
    <row r="19">
      <c r="A19" s="1" t="s">
        <v>24</v>
      </c>
      <c r="B19" s="1" t="s">
        <v>25</v>
      </c>
      <c r="C19" s="1" t="s">
        <v>26</v>
      </c>
    </row>
    <row r="20">
      <c r="A20" s="2" t="s">
        <v>27</v>
      </c>
      <c r="B20" s="2" t="s">
        <v>8</v>
      </c>
      <c r="C20" s="2">
        <v>120000.0</v>
      </c>
    </row>
    <row r="21">
      <c r="A21" s="2" t="s">
        <v>28</v>
      </c>
      <c r="B21" s="2" t="s">
        <v>12</v>
      </c>
      <c r="C21" s="2">
        <v>2500.0</v>
      </c>
    </row>
    <row r="22">
      <c r="A22" s="2" t="s">
        <v>29</v>
      </c>
      <c r="B22" s="2" t="s">
        <v>15</v>
      </c>
      <c r="C22" s="2">
        <v>4500.0</v>
      </c>
    </row>
    <row r="23">
      <c r="A23" s="2" t="s">
        <v>30</v>
      </c>
      <c r="B23" s="2" t="s">
        <v>18</v>
      </c>
      <c r="C23" s="2">
        <v>35000.0</v>
      </c>
    </row>
    <row r="25" ht="22.5" customHeight="1">
      <c r="A25" s="5" t="s">
        <v>24</v>
      </c>
      <c r="B25" s="5" t="s">
        <v>25</v>
      </c>
      <c r="C25" s="6" t="s">
        <v>31</v>
      </c>
    </row>
    <row r="26" ht="22.5" customHeight="1">
      <c r="A26" s="7" t="s">
        <v>29</v>
      </c>
      <c r="B26" s="7" t="str">
        <f>VLOOKUP(A22,$A$19:$C$23,2,FALSE)</f>
        <v>Keyboard</v>
      </c>
      <c r="C26" s="8" t="str">
        <f t="array" ref="C26">XLOOKUP(A22,A20:A23,B20:B23)</f>
        <v>Keyboard</v>
      </c>
    </row>
    <row r="27" ht="22.5" customHeight="1">
      <c r="A27" s="7" t="s">
        <v>27</v>
      </c>
      <c r="B27" s="7" t="str">
        <f>VLOOKUP(A20,$A$19:$C$23,2,FALSE)</f>
        <v>Laptop</v>
      </c>
      <c r="C27" s="8" t="str">
        <f t="array" ref="C27">XLOOKUP(A20,A20:A24,B20:B24)</f>
        <v>Laptop</v>
      </c>
    </row>
    <row r="28" ht="22.5" customHeight="1">
      <c r="A28" s="7" t="s">
        <v>30</v>
      </c>
      <c r="B28" s="7" t="str">
        <f>VLOOKUP(A23,$A$19:$C$23,2,FALSE)</f>
        <v>Printer</v>
      </c>
      <c r="C28" s="8" t="str">
        <f t="array" ref="C28">XLOOKUP(A23,A20:A24,B20:B24)</f>
        <v>Printer</v>
      </c>
    </row>
  </sheetData>
  <drawing r:id="rId1"/>
  <tableParts count="1">
    <tablePart r:id="rId3"/>
  </tableParts>
</worksheet>
</file>